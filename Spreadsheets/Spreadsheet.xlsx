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608" activeTab="2"/>
  </bookViews>
  <sheets>
    <sheet name="Ticket" sheetId="1" r:id="rId1"/>
    <sheet name="feedbacks" sheetId="2" r:id="rId2"/>
    <sheet name="analysis" sheetId="3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G3" i="1" l="1"/>
  <c r="G2" i="1"/>
  <c r="F3" i="1"/>
  <c r="F2" i="1"/>
  <c r="D2" i="2"/>
</calcChain>
</file>

<file path=xl/sharedStrings.xml><?xml version="1.0" encoding="utf-8"?>
<sst xmlns="http://schemas.openxmlformats.org/spreadsheetml/2006/main" count="34" uniqueCount="21">
  <si>
    <t>ticket_id</t>
  </si>
  <si>
    <t>closed_at</t>
  </si>
  <si>
    <t>outlet_id</t>
  </si>
  <si>
    <t>cms_id</t>
  </si>
  <si>
    <t>isu-sjd-457</t>
  </si>
  <si>
    <t xml:space="preserve">         created_at</t>
  </si>
  <si>
    <t>wrqy-juv-978</t>
  </si>
  <si>
    <t>vew-iuvd-12</t>
  </si>
  <si>
    <t>qer-fal-092</t>
  </si>
  <si>
    <t>8woh-k3u-23b</t>
  </si>
  <si>
    <t>feedback_at</t>
  </si>
  <si>
    <t>feedback_rating</t>
  </si>
  <si>
    <t>ticket_created_at</t>
  </si>
  <si>
    <t>same_day</t>
  </si>
  <si>
    <t>same_hour</t>
  </si>
  <si>
    <t>Row Labels</t>
  </si>
  <si>
    <t>Grand Total</t>
  </si>
  <si>
    <t>Count of ticket_id</t>
  </si>
  <si>
    <t>(All)</t>
  </si>
  <si>
    <t>SAME DAY TICKETS PER OUTLET</t>
  </si>
  <si>
    <t>SAME HOUR TICKETS PER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</si>
</sst>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21.481047800924" createdVersion="4" refreshedVersion="4" minRefreshableVersion="3" recordCount="2">
  <cacheSource type="worksheet">
    <worksheetSource ref="A1:G3" sheet="Ticket"/>
  </cacheSource>
  <cacheFields count="7">
    <cacheField name="ticket_id" numFmtId="0">
      <sharedItems/>
    </cacheField>
    <cacheField name="         created_at" numFmtId="22">
      <sharedItems containsSemiMixedTypes="0" containsNonDate="0" containsDate="1" containsString="0" minDate="2021-08-19T16:45:43" maxDate="2021-08-21T11:09:22"/>
    </cacheField>
    <cacheField name="closed_at" numFmtId="22">
      <sharedItems containsSemiMixedTypes="0" containsNonDate="0" containsDate="1" containsString="0" minDate="2021-08-21T17:13:45" maxDate="2021-08-22T12:33:32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same_day" numFmtId="0">
      <sharedItems count="2">
        <s v="No"/>
        <s v="Same Day"/>
      </sharedItems>
    </cacheField>
    <cacheField name="same_hour" numFmtId="0">
      <sharedItems count="1"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s v="isu-sjd-457"/>
    <d v="2021-08-19T16:45:43"/>
    <d v="2021-08-22T12:33:32"/>
    <x v="0"/>
    <s v="vew-iuvd-12"/>
    <x v="0"/>
    <x v="0"/>
  </r>
  <r>
    <s v="qer-fal-092"/>
    <d v="2021-08-21T11:09:22"/>
    <d v="2021-08-21T17:13:45"/>
    <x v="1"/>
    <s v="vew-iuvd-1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3:B16" firstHeaderRow="1" firstDataRow="1" firstDataCol="1" rowPageCount="1" colPageCount="1"/>
  <pivotFields count="7">
    <pivotField dataField="1"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showAll="0"/>
    <pivotField axis="axisPage" showAll="0">
      <items count="2"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B7" firstHeaderRow="1" firstDataRow="1" firstDataCol="1" rowPageCount="1" colPageCount="1"/>
  <pivotFields count="7">
    <pivotField dataField="1"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3" sqref="G3"/>
    </sheetView>
  </sheetViews>
  <sheetFormatPr defaultRowHeight="14.4" x14ac:dyDescent="0.3"/>
  <cols>
    <col min="1" max="1" width="15.5546875" customWidth="1"/>
    <col min="2" max="2" width="19.33203125" customWidth="1"/>
    <col min="3" max="3" width="17.77734375" customWidth="1"/>
    <col min="4" max="4" width="13.109375" customWidth="1"/>
    <col min="5" max="5" width="12.33203125" customWidth="1"/>
    <col min="6" max="6" width="13.109375" customWidth="1"/>
    <col min="7" max="7" width="20.664062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13</v>
      </c>
      <c r="G1" t="s">
        <v>14</v>
      </c>
    </row>
    <row r="2" spans="1:7" x14ac:dyDescent="0.3">
      <c r="A2" t="s">
        <v>4</v>
      </c>
      <c r="B2" s="1">
        <v>44427.698414351849</v>
      </c>
      <c r="C2" s="1">
        <v>44430.523287037038</v>
      </c>
      <c r="D2" t="s">
        <v>6</v>
      </c>
      <c r="E2" t="s">
        <v>7</v>
      </c>
      <c r="F2" t="str">
        <f>IF(INT(B2)=INT(C2),"Same Day","No")</f>
        <v>No</v>
      </c>
      <c r="G2" t="str">
        <f>IF(AND(INT(B2)=INT(C2),HOUR(B2)=HOUR(C2)),"Same Hour","No")</f>
        <v>No</v>
      </c>
    </row>
    <row r="3" spans="1:7" x14ac:dyDescent="0.3">
      <c r="A3" t="s">
        <v>8</v>
      </c>
      <c r="B3" s="1">
        <v>44429.464837962965</v>
      </c>
      <c r="C3" s="1">
        <v>44429.717881944445</v>
      </c>
      <c r="D3" t="s">
        <v>9</v>
      </c>
      <c r="E3" t="s">
        <v>7</v>
      </c>
      <c r="F3" t="str">
        <f>IF(INT(B3)=INT(C3),"Same Day","No")</f>
        <v>Same Day</v>
      </c>
      <c r="G3" t="str">
        <f>IF(AND(INT(B3)=INT(C3),HOUR(B3)=HOUR(C3)),"Same Hour","No")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4.4" x14ac:dyDescent="0.3"/>
  <cols>
    <col min="1" max="1" width="13.5546875" customWidth="1"/>
    <col min="2" max="2" width="20.77734375" customWidth="1"/>
    <col min="3" max="3" width="15.44140625" customWidth="1"/>
    <col min="4" max="4" width="39" customWidth="1"/>
  </cols>
  <sheetData>
    <row r="1" spans="1:4" x14ac:dyDescent="0.3">
      <c r="A1" t="s">
        <v>3</v>
      </c>
      <c r="B1" t="s">
        <v>10</v>
      </c>
      <c r="C1" t="s">
        <v>11</v>
      </c>
      <c r="D1" t="s">
        <v>12</v>
      </c>
    </row>
    <row r="2" spans="1:4" x14ac:dyDescent="0.3">
      <c r="A2" t="s">
        <v>7</v>
      </c>
      <c r="B2" s="1">
        <v>44429.560277777775</v>
      </c>
      <c r="C2">
        <v>3</v>
      </c>
      <c r="D2" s="1">
        <f>INDEX(Ticket!B:B, MATCH(A2, Ticket!E:E, 0))</f>
        <v>44427.698414351849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E13" sqref="E13"/>
    </sheetView>
  </sheetViews>
  <sheetFormatPr defaultRowHeight="14.4" x14ac:dyDescent="0.3"/>
  <cols>
    <col min="1" max="1" width="26.5546875" customWidth="1"/>
    <col min="2" max="2" width="25.5546875" customWidth="1"/>
  </cols>
  <sheetData>
    <row r="1" spans="1:2" x14ac:dyDescent="0.3">
      <c r="A1" s="5" t="s">
        <v>19</v>
      </c>
    </row>
    <row r="2" spans="1:2" x14ac:dyDescent="0.3">
      <c r="A2" s="2" t="s">
        <v>13</v>
      </c>
      <c r="B2" t="s">
        <v>18</v>
      </c>
    </row>
    <row r="4" spans="1:2" x14ac:dyDescent="0.3">
      <c r="A4" s="2" t="s">
        <v>15</v>
      </c>
      <c r="B4" t="s">
        <v>17</v>
      </c>
    </row>
    <row r="5" spans="1:2" x14ac:dyDescent="0.3">
      <c r="A5" s="3" t="s">
        <v>9</v>
      </c>
      <c r="B5" s="4">
        <v>1</v>
      </c>
    </row>
    <row r="6" spans="1:2" x14ac:dyDescent="0.3">
      <c r="A6" s="3" t="s">
        <v>6</v>
      </c>
      <c r="B6" s="4">
        <v>1</v>
      </c>
    </row>
    <row r="7" spans="1:2" x14ac:dyDescent="0.3">
      <c r="A7" s="3" t="s">
        <v>16</v>
      </c>
      <c r="B7" s="4">
        <v>2</v>
      </c>
    </row>
    <row r="10" spans="1:2" x14ac:dyDescent="0.3">
      <c r="A10" s="5" t="s">
        <v>20</v>
      </c>
    </row>
    <row r="11" spans="1:2" x14ac:dyDescent="0.3">
      <c r="A11" s="2" t="s">
        <v>14</v>
      </c>
      <c r="B11" t="s">
        <v>18</v>
      </c>
    </row>
    <row r="13" spans="1:2" x14ac:dyDescent="0.3">
      <c r="A13" s="2" t="s">
        <v>15</v>
      </c>
      <c r="B13" t="s">
        <v>17</v>
      </c>
    </row>
    <row r="14" spans="1:2" x14ac:dyDescent="0.3">
      <c r="A14" s="3" t="s">
        <v>9</v>
      </c>
      <c r="B14" s="4">
        <v>1</v>
      </c>
    </row>
    <row r="15" spans="1:2" x14ac:dyDescent="0.3">
      <c r="A15" s="3" t="s">
        <v>6</v>
      </c>
      <c r="B15" s="4">
        <v>1</v>
      </c>
    </row>
    <row r="16" spans="1:2" x14ac:dyDescent="0.3">
      <c r="A16" s="3" t="s">
        <v>16</v>
      </c>
      <c r="B1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2026-04-09T05:14:26Z</dcterms:created>
  <dcterms:modified xsi:type="dcterms:W3CDTF">2026-04-09T06:22:22Z</dcterms:modified>
</cp:coreProperties>
</file>